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utronik0.sharepoint.com/sites/RutronikSystemSolutions/Freigegebene Dokumente/General/05_Exhibitions/HandsOn_Poland/"/>
    </mc:Choice>
  </mc:AlternateContent>
  <xr:revisionPtr revIDLastSave="52" documentId="8_{DCDE5342-F688-44AA-9611-8BF756C8C642}" xr6:coauthVersionLast="47" xr6:coauthVersionMax="47" xr10:uidLastSave="{B903541B-A653-4CAC-A119-C5D252779A78}"/>
  <bookViews>
    <workbookView xWindow="-28920" yWindow="-120" windowWidth="29040" windowHeight="15720" xr2:uid="{5A3116E9-A389-4D83-94F2-191375FB29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18" i="1"/>
  <c r="B17" i="1"/>
  <c r="M7" i="1"/>
  <c r="M6" i="1"/>
  <c r="P6" i="1" l="1"/>
  <c r="B13" i="1" s="1"/>
  <c r="B14" i="1" s="1"/>
</calcChain>
</file>

<file path=xl/sharedStrings.xml><?xml version="1.0" encoding="utf-8"?>
<sst xmlns="http://schemas.openxmlformats.org/spreadsheetml/2006/main" count="25" uniqueCount="22">
  <si>
    <t>c</t>
  </si>
  <si>
    <t>start freq</t>
  </si>
  <si>
    <t>stop freq</t>
  </si>
  <si>
    <t>samples per chirp</t>
  </si>
  <si>
    <t>fft len</t>
  </si>
  <si>
    <t>Sampling freq</t>
  </si>
  <si>
    <t>slope (K)</t>
  </si>
  <si>
    <t>BW</t>
  </si>
  <si>
    <t>Tc</t>
  </si>
  <si>
    <t>sample count * (1 / sampling rate)</t>
  </si>
  <si>
    <t>=</t>
  </si>
  <si>
    <t>µs</t>
  </si>
  <si>
    <t>stop freq - start freq</t>
  </si>
  <si>
    <t>Hz</t>
  </si>
  <si>
    <t>s</t>
  </si>
  <si>
    <t>Range max</t>
  </si>
  <si>
    <t>Range bin</t>
  </si>
  <si>
    <t>meters</t>
  </si>
  <si>
    <t>Lambda</t>
  </si>
  <si>
    <t>Vmax</t>
  </si>
  <si>
    <t>Chirp rep time</t>
  </si>
  <si>
    <t>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</si>
</sst>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FA7D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1" applyNumberFormat="0" applyAlignment="0" applyProtection="0"/>
  </cellStyleXfs>
  <cellXfs count="5">
    <xf numFmtId="0" fontId="0" fillId="0" borderId="0" xfId="0"/>
    <xf numFmtId="0" fontId="0" fillId="0" borderId="0" xfId="0" quotePrefix="1"/>
    <xf numFmtId="0" fontId="2" fillId="3" borderId="1" xfId="2"/>
    <xf numFmtId="0" fontId="1" fillId="2" borderId="0" xfId="1"/>
    <xf numFmtId="0" fontId="3" fillId="4" borderId="1" xfId="3"/>
  </cellXfs>
  <cellStyles count="4">
    <cellStyle name="Bad" xfId="1" builtinId="27"/>
    <cellStyle name="Calculation" xfId="3" builtinId="22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06D38-56BF-41EC-94C5-F7AECE4F08CF}">
  <dimension ref="A1:P18"/>
  <sheetViews>
    <sheetView tabSelected="1" workbookViewId="0">
      <selection activeCell="H19" sqref="H19"/>
    </sheetView>
  </sheetViews>
  <sheetFormatPr defaultRowHeight="14.4" x14ac:dyDescent="0.3"/>
  <cols>
    <col min="1" max="1" width="16.5546875" bestFit="1" customWidth="1"/>
    <col min="2" max="2" width="17.21875" customWidth="1"/>
    <col min="13" max="13" width="11" bestFit="1" customWidth="1"/>
    <col min="16" max="16" width="12" bestFit="1" customWidth="1"/>
  </cols>
  <sheetData>
    <row r="1" spans="1:16" x14ac:dyDescent="0.3">
      <c r="A1" t="s">
        <v>0</v>
      </c>
      <c r="B1" s="3">
        <v>299792458</v>
      </c>
    </row>
    <row r="2" spans="1:16" x14ac:dyDescent="0.3">
      <c r="A2" t="s">
        <v>1</v>
      </c>
      <c r="B2" s="2">
        <v>58000000000</v>
      </c>
    </row>
    <row r="3" spans="1:16" x14ac:dyDescent="0.3">
      <c r="A3" t="s">
        <v>2</v>
      </c>
      <c r="B3" s="2">
        <v>63500000000</v>
      </c>
    </row>
    <row r="4" spans="1:16" x14ac:dyDescent="0.3">
      <c r="A4" t="s">
        <v>3</v>
      </c>
      <c r="B4" s="2">
        <v>64</v>
      </c>
    </row>
    <row r="5" spans="1:16" x14ac:dyDescent="0.3">
      <c r="A5" t="s">
        <v>4</v>
      </c>
      <c r="B5" s="2">
        <f>(B4/2)+1</f>
        <v>33</v>
      </c>
    </row>
    <row r="6" spans="1:16" x14ac:dyDescent="0.3">
      <c r="A6" t="s">
        <v>5</v>
      </c>
      <c r="B6" s="2">
        <v>2000000</v>
      </c>
      <c r="F6" t="s">
        <v>6</v>
      </c>
      <c r="G6" t="s">
        <v>7</v>
      </c>
      <c r="H6" t="s">
        <v>12</v>
      </c>
      <c r="L6" s="1" t="s">
        <v>10</v>
      </c>
      <c r="M6" s="4">
        <f>B3-B2</f>
        <v>5500000000</v>
      </c>
      <c r="N6" t="s">
        <v>13</v>
      </c>
      <c r="O6" t="s">
        <v>10</v>
      </c>
      <c r="P6" s="4">
        <f>M6/(M7)</f>
        <v>171875000000000</v>
      </c>
    </row>
    <row r="7" spans="1:16" x14ac:dyDescent="0.3">
      <c r="A7" t="s">
        <v>20</v>
      </c>
      <c r="B7" s="2">
        <v>591</v>
      </c>
      <c r="C7" t="s">
        <v>11</v>
      </c>
      <c r="G7" t="s">
        <v>8</v>
      </c>
      <c r="H7" t="s">
        <v>9</v>
      </c>
      <c r="L7" s="1" t="s">
        <v>10</v>
      </c>
      <c r="M7" s="4">
        <f>B4*(1/B6)</f>
        <v>3.1999999999999999E-5</v>
      </c>
      <c r="N7" t="s">
        <v>14</v>
      </c>
    </row>
    <row r="13" spans="1:16" x14ac:dyDescent="0.3">
      <c r="A13" t="s">
        <v>15</v>
      </c>
      <c r="B13" s="4">
        <f>(B6*(B1/2))/(2*P6)</f>
        <v>0.87212351418181822</v>
      </c>
      <c r="C13" t="s">
        <v>17</v>
      </c>
    </row>
    <row r="14" spans="1:16" x14ac:dyDescent="0.3">
      <c r="A14" t="s">
        <v>16</v>
      </c>
      <c r="B14" s="4">
        <f>B13/B5</f>
        <v>2.6427985278236917E-2</v>
      </c>
      <c r="C14" t="s">
        <v>17</v>
      </c>
    </row>
    <row r="17" spans="1:3" x14ac:dyDescent="0.3">
      <c r="A17" t="s">
        <v>18</v>
      </c>
      <c r="B17" s="4">
        <f>B1/((B3+B2)/2)</f>
        <v>4.9348552757201647E-3</v>
      </c>
    </row>
    <row r="18" spans="1:3" x14ac:dyDescent="0.3">
      <c r="A18" t="s">
        <v>19</v>
      </c>
      <c r="B18" s="4">
        <f>B17/(4*(B7/1000000))</f>
        <v>2.0875022316921168</v>
      </c>
      <c r="C18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c0deec8-1977-4e84-908c-a9491951bba6" xsi:nil="true"/>
    <lcf76f155ced4ddcb4097134ff3c332f xmlns="133f9a41-78f1-4ee8-a116-02e903439446">
      <Terms xmlns="http://schemas.microsoft.com/office/infopath/2007/PartnerControls"/>
    </lcf76f155ced4ddcb4097134ff3c332f>
    <Person xmlns="133f9a41-78f1-4ee8-a116-02e903439446">
      <UserInfo>
        <DisplayName/>
        <AccountId xsi:nil="true"/>
        <AccountType/>
      </UserInfo>
    </Person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664D3514820E4F9E9AE29CB80DB3ED" ma:contentTypeVersion="16" ma:contentTypeDescription="Ein neues Dokument erstellen." ma:contentTypeScope="" ma:versionID="38c782518fa6ee24bb97f4cc9a7f8da3">
  <xsd:schema xmlns:xsd="http://www.w3.org/2001/XMLSchema" xmlns:xs="http://www.w3.org/2001/XMLSchema" xmlns:p="http://schemas.microsoft.com/office/2006/metadata/properties" xmlns:ns2="133f9a41-78f1-4ee8-a116-02e903439446" xmlns:ns3="1c0deec8-1977-4e84-908c-a9491951bba6" targetNamespace="http://schemas.microsoft.com/office/2006/metadata/properties" ma:root="true" ma:fieldsID="8e1095c12633e9b02127b74d159f7476" ns2:_="" ns3:_="">
    <xsd:import namespace="133f9a41-78f1-4ee8-a116-02e903439446"/>
    <xsd:import namespace="1c0deec8-1977-4e84-908c-a9491951bba6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Pers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3f9a41-78f1-4ee8-a116-02e90343944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ildmarkierungen" ma:readOnly="false" ma:fieldId="{5cf76f15-5ced-4ddc-b409-7134ff3c332f}" ma:taxonomyMulti="true" ma:sspId="1d739522-22ee-472f-b7a4-aa6d2a09ad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erson" ma:index="23" nillable="true" ma:displayName="Person" ma:format="Dropdown" ma:list="UserInfo" ma:SharePointGroup="0" ma:internalName="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deec8-1977-4e84-908c-a9491951bba6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866e77c-8616-465e-8ede-0f30b703c0e9}" ma:internalName="TaxCatchAll" ma:showField="CatchAllData" ma:web="1c0deec8-1977-4e84-908c-a9491951bb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679C87-5228-421C-B4E1-FCC12897BA88}">
  <ds:schemaRefs>
    <ds:schemaRef ds:uri="http://schemas.microsoft.com/office/2006/metadata/properties"/>
    <ds:schemaRef ds:uri="http://schemas.microsoft.com/office/infopath/2007/PartnerControls"/>
    <ds:schemaRef ds:uri="1c0deec8-1977-4e84-908c-a9491951bba6"/>
    <ds:schemaRef ds:uri="133f9a41-78f1-4ee8-a116-02e903439446"/>
  </ds:schemaRefs>
</ds:datastoreItem>
</file>

<file path=customXml/itemProps2.xml><?xml version="1.0" encoding="utf-8"?>
<ds:datastoreItem xmlns:ds="http://schemas.openxmlformats.org/officeDocument/2006/customXml" ds:itemID="{7C6A3762-42C3-4A6C-AD59-3B6857D044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3f9a41-78f1-4ee8-a116-02e903439446"/>
    <ds:schemaRef ds:uri="1c0deec8-1977-4e84-908c-a9491951bb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8F4B63-B880-49B5-9960-42BCC92AEC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Rutronik Elektronische Bauelemente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Rose, Jordan</dc:creator>
  <cp:lastModifiedBy>Rose, Jordan</cp:lastModifiedBy>
  <dcterms:created xsi:type="dcterms:W3CDTF">2025-10-17T13:10:43Z</dcterms:created>
  <dcterms:modified xsi:type="dcterms:W3CDTF">2025-10-20T10:04:08Z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a97ffd-39fd-4bc7-8d01-c9aafc3cbe00_Enabled">
    <vt:lpwstr>true</vt:lpwstr>
  </property>
  <property fmtid="{D5CDD505-2E9C-101B-9397-08002B2CF9AE}" pid="3" name="MSIP_Label_b4a97ffd-39fd-4bc7-8d01-c9aafc3cbe00_SetDate">
    <vt:lpwstr>2025-10-17T13:18:14Z</vt:lpwstr>
  </property>
  <property fmtid="{D5CDD505-2E9C-101B-9397-08002B2CF9AE}" pid="4" name="MSIP_Label_b4a97ffd-39fd-4bc7-8d01-c9aafc3cbe00_Method">
    <vt:lpwstr>Standard</vt:lpwstr>
  </property>
  <property fmtid="{D5CDD505-2E9C-101B-9397-08002B2CF9AE}" pid="5" name="MSIP_Label_b4a97ffd-39fd-4bc7-8d01-c9aafc3cbe00_Name">
    <vt:lpwstr>Öffentlich</vt:lpwstr>
  </property>
  <property fmtid="{D5CDD505-2E9C-101B-9397-08002B2CF9AE}" pid="6" name="MSIP_Label_b4a97ffd-39fd-4bc7-8d01-c9aafc3cbe00_SiteId">
    <vt:lpwstr>fdddafea-d35f-486a-9e94-aa1cb83f5ee8</vt:lpwstr>
  </property>
  <property fmtid="{D5CDD505-2E9C-101B-9397-08002B2CF9AE}" pid="7" name="MSIP_Label_b4a97ffd-39fd-4bc7-8d01-c9aafc3cbe00_ActionId">
    <vt:lpwstr>fb4fc896-26ff-4acf-9450-ab3a78eeef7c</vt:lpwstr>
  </property>
  <property fmtid="{D5CDD505-2E9C-101B-9397-08002B2CF9AE}" pid="8" name="MSIP_Label_b4a97ffd-39fd-4bc7-8d01-c9aafc3cbe00_ContentBits">
    <vt:lpwstr>0</vt:lpwstr>
  </property>
  <property fmtid="{D5CDD505-2E9C-101B-9397-08002B2CF9AE}" pid="9" name="MSIP_Label_b4a97ffd-39fd-4bc7-8d01-c9aafc3cbe00_Tag">
    <vt:lpwstr>10, 3, 0, 1</vt:lpwstr>
  </property>
  <property fmtid="{D5CDD505-2E9C-101B-9397-08002B2CF9AE}" pid="10" name="ContentTypeId">
    <vt:lpwstr>0x01010008664D3514820E4F9E9AE29CB80DB3ED</vt:lpwstr>
  </property>
  <property fmtid="{D5CDD505-2E9C-101B-9397-08002B2CF9AE}" pid="11" name="MediaServiceImageTags">
    <vt:lpwstr/>
  </property>
</Properties>
</file>